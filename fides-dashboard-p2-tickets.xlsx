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Tickets" sheetId="1" state="visible" r:id="rId3"/>
    <sheet name="Summary" sheetId="2" state="visible" r:id="rId4"/>
  </sheets>
  <definedNames>
    <definedName function="false" hidden="true" localSheetId="0" name="_xlnm._FilterDatabase" vbProcedure="false">'All Tickets'!$A$1:$J$22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<sst xmlns="http://schemas.openxmlformats.org/spreadsheetml/2006/main" count="202" uniqueCount="137">
  <si>
    <t xml:space="preserve">Ticket ID</t>
  </si>
  <si>
    <t xml:space="preserve">Epic</t>
  </si>
  <si>
    <t xml:space="preserve">Title</t>
  </si>
  <si>
    <t xml:space="preserve">Type</t>
  </si>
  <si>
    <t xml:space="preserve">Points</t>
  </si>
  <si>
    <t xml:space="preserve">Summary</t>
  </si>
  <si>
    <t xml:space="preserve">Acceptance Criteria</t>
  </si>
  <si>
    <t xml:space="preserve">Dependencies</t>
  </si>
  <si>
    <t xml:space="preserve">PRD Section</t>
  </si>
  <si>
    <t xml:space="preserve">Notes</t>
  </si>
  <si>
    <t xml:space="preserve">DASH-1</t>
  </si>
  <si>
    <t xml:space="preserve">Phase 1: Backend Foundation &amp; P1 Polish</t>
  </si>
  <si>
    <t xml:space="preserve">[BE] Dashboard service layer and all P1 endpoints</t>
  </si>
  <si>
    <t xml:space="preserve">Backend</t>
  </si>
  <si>
    <t xml:space="preserve">Create the dashboard service layer in fidesplus (Routes → Services → Repositories → Models) and implement all endpoints the P1 frontend already calls: GPS posture (4 dimensions), priority action queue, trends/sparklines, DSR summary, system coverage summary, and agent briefing. The frontend types and RTK Query hooks are already defined — this ticket makes them real.</t>
  </si>
  <si>
    <t xml:space="preserve">GPS Posture (GET /api/v1/plus/dashboard/posture):
• Returns PostureResponse: score (0-100), band, diff_percent, diff_direction, per-dimension breakdown
• 4 dimensions: Coverage (20%) via StagedResource + MonitorSteward, Classification Health (15%) via StagedResource.classifications confidence + staleness, DSR Compliance (15%) via PrivacyRequest overdue/SLA/manual steps, Consent Alignment (15%) via Consent + ConsentRequest opt-in rates
• Bands: 0-39 critical, 40-59 at_risk, 60-79 good, 80-100 excellent
• Diff compares to 7 days ago
Priority Actions (GET/PATCH /api/v1/plus/dashboard/actions):
• Paginated PriorityActionsResponse with ?dimension= filter
• Generates from: unreviewed classifications, overdue/approaching DSRs, systems without steward, consent anomalies, assessments needing review
• Severity = regulatory exposure × time sensitivity × blast radius
• PATCH /{actionId} for snooze/complete/dismiss with persistent state
Trends (GET /api/v1/plus/dashboard/trends):
• ?period=30d|60d|90d, returns TrendsResponse with history arrays for GPS, DSR volume, system coverage, classification health
• &lt;2s response for 90-day lookback
DSR Summary (GET /api/v1/plus/dashboard/privacy-requests):
• active_count, statuses breakdown, overdue_count, sla_health by action type
System Coverage (GET /api/v1/plus/dashboard/system-coverage):
• total_systems, fully/partially/unclassified, without_steward, coverage_percentage
Agent Briefing (GET /api/v1/plus/dashboard/agent-briefing):
• Briefing text + quick_actions from EventAudit delta since last login
• V1: deterministic templates, persona-aware
• Tracks user last login (new column or table)</t>
  </si>
  <si>
    <t xml:space="preserve">None</t>
  </si>
  <si>
    <t xml:space="preserve">§4.0-4.5 (P1 components)</t>
  </si>
  <si>
    <t xml:space="preserve">Critical path — all Phase 1 FE work depends on this. Frontend types in dashboard.slice.ts are the contract.</t>
  </si>
  <si>
    <t xml:space="preserve">DASH-2</t>
  </si>
  <si>
    <t xml:space="preserve">[FE] Replace mock handlers with live API integration</t>
  </si>
  <si>
    <t xml:space="preserve">Frontend</t>
  </si>
  <si>
    <t xml:space="preserve">Wire all P1 dashboard components from MSW mocks to real backend endpoints. Reconcile type mismatches between frontend types and actual API responses.</t>
  </si>
  <si>
    <t xml:space="preserve">• All dashboard.slice.ts RTK Query endpoints working against real /api/v1/plus/dashboard/* responses
• Type mismatches reconciled (update types or add transform layers)
• MSW mocks moved behind NEXT_PUBLIC_MOCK_DASHBOARD=true flag (not deleted)
• Error states handled per endpoint (loading, error, empty data)
• alphaDashboard feature flag still gates everything
• No regressions on: PostureCard, PriorityActionsCard, DSRStatusCard, SystemCoverageCard, CommandBar, AgentBriefing</t>
  </si>
  <si>
    <t xml:space="preserve">§4 (all P1 components)</t>
  </si>
  <si>
    <t xml:space="preserve">Pick up incrementally as DASH-1 endpoints land</t>
  </si>
  <si>
    <t xml:space="preserve">DASH-3</t>
  </si>
  <si>
    <t xml:space="preserve">[FE] P1 dashboard UI polish and refinements</t>
  </si>
  <si>
    <t xml:space="preserve">Visual quality, animation, and interaction polish on existing P1 components per PRD design philosophy.</t>
  </si>
  <si>
    <t xml:space="preserve">• GPS score count-up animation on load
• Action queue items slide in/out on completion (200-300ms ease-out)
• Radar segments animate on hover
• Dark mode audit: all P1 components render correctly, no contrast issues, data visualizations look striking
• Whitespace and spacing pass — more generous than default Ant
• Loading skeletons (not spinners) for each panel
• Responsive behavior verified on smaller screens
• Empty states designed for each component</t>
  </si>
  <si>
    <t xml:space="preserve">§7 Visual Design</t>
  </si>
  <si>
    <t xml:space="preserve">Can start immediately — no backend dependency</t>
  </si>
  <si>
    <t xml:space="preserve">DASH-4</t>
  </si>
  <si>
    <t xml:space="preserve">Phase 2: New Dashboard Components</t>
  </si>
  <si>
    <t xml:space="preserve">[BE] GPS expansion to 7 dimensions</t>
  </si>
  <si>
    <t xml:space="preserve">Extend the posture service from DASH-1 with three new scoring dimensions: Policy Enforcement (15%), AI Readiness (10%), Assessment Coverage (10%). Also adds a dedicated AI Readiness summary endpoint for the executive panel.</t>
  </si>
  <si>
    <t xml:space="preserve">Policy Enforcement (15% weight):
• Scores on: % of systems with governing policy, policy violations from EventAudit, unresolved violation age
• Systems without policy = 0 score; violations weighted by severity × age
AI Readiness (10% weight):
• Per-system: 5 binary criteria (classified, consent-bound, de-ID strategy, policy applied, PIA complete)
• System readiness = criteria met / 5; aggregate = weighted avg across systems
• GET /api/v1/plus/dashboard/ai-readiness returns: aggregate score, fully/partially/not ready counts, per-criterion rates
Assessment Coverage (10% weight):
• Queries PrivacyAssessment: activities without PIAs, overdue, in_progress &gt;30 days
• Score = covered / total, adjusted for overdue and stale
All 7 dimensions re-weighted: Coverage 20%, Classification 15%, DSR 15%, Consent 15%, Policy 15%, AI Readiness 10%, Assessment 10%</t>
  </si>
  <si>
    <t xml:space="preserve">§3 Risk Framework / §4.6 AI Readiness</t>
  </si>
  <si>
    <t xml:space="preserve">Extends posture service; AI Readiness endpoint also serves DASH-11</t>
  </si>
  <si>
    <t xml:space="preserve">DASH-5</t>
  </si>
  <si>
    <t xml:space="preserve">[BE] Activity feed and risk detection endpoints</t>
  </si>
  <si>
    <t xml:space="preserve">Two related endpoints: the activity feed (maps EventAudit to a timeline) and risk detection (evaluates 8 risk dimensions into ranked cards). Both surface platform intelligence to the dashboard.</t>
  </si>
  <si>
    <t xml:space="preserve">Activity Feed (GET /api/v1/plus/dashboard/activity-feed):
• Paginated ActivityFeedResponse with ?page=, ?size=, ?start_date=, ?end_date=
• Maps EventAudit → ActivityFeedItem: actor_type (human/system/agent), message, timestamp
• Templates per event type: "Helios classified {count} fields...", "DSR-{id} completed..."
• Filterable by category prefix; newest first; 90-day default
Risk Cards (GET /api/v1/plus/dashboard/risks):
• Ranked RiskCard list: severity, title, description, affected_systems, detected_at, action_type + action_data, agent_rationale (template V1)
• Evaluates 8 dimensions: unreviewed classifications, unreviewed systems, overdue DSRs, no steward, unclassified systems, consent failures, policy violations, no PIAs
• Severity = regulatory exposure × time sensitivity × blast radius
• Deduplication across same system; top 10 cap (configurable)</t>
  </si>
  <si>
    <t xml:space="preserve">§4.8 Activity Feed / §3 Risk Cards</t>
  </si>
  <si>
    <t xml:space="preserve">Frontend types + RTK Query already defined for activity feed</t>
  </si>
  <si>
    <t xml:space="preserve">DASH-6</t>
  </si>
  <si>
    <t xml:space="preserve">[BE] Consent health, Astralis activity, and persona preference endpoints</t>
  </si>
  <si>
    <t xml:space="preserve">Three smaller endpoints bundled: consent health metrics, Astralis agent activity, and user persona preferences.</t>
  </si>
  <si>
    <t xml:space="preserve">Consent Health (GET /api/v1/plus/dashboard/consent-health):
• active_consent_records count, monitoring_status (healthy/degraded/failing from EventAudit digest events)
• anomaly_flags (opt-out deviations &gt;2σ from 30-day rolling avg), consent_to_processing_alignment %
• Anomaly threshold configurable
Astralis Activity (GET /api/v1/plus/dashboard/astralis):
• AstralisResponse: active_conversations (in_progress assessments), completed_assessments, awaiting_response (no AnswerVersion &gt;3 days), risks_identified (risk_level &gt; low)
• Per-conversation: steward name, system, status, days since last activity
Persona Preferences (GET/PATCH /api/v1/plus/dashboard/preferences):
• Accepts persona: legal_privacy | governance_grc | data_engineer | executive
• Returns persona + default section ordering
• Stored on user model (new column or JSONB)</t>
  </si>
  <si>
    <t xml:space="preserve">§4.7 / §4.10 / §2</t>
  </si>
  <si>
    <t xml:space="preserve">Three lightweight endpoints — can split if team prefers</t>
  </si>
  <si>
    <t xml:space="preserve">DASH-7</t>
  </si>
  <si>
    <t xml:space="preserve">[FE] GPS radar chart expansion to 7 dimensions</t>
  </si>
  <si>
    <t xml:space="preserve">Update PostureCard and PostureBreakdownContent to render 7 dimensions instead of 4.</t>
  </si>
  <si>
    <t xml:space="preserve">• Radar chart renders all 7 dimensions when returned by API
• constants.ts dimension config updated with labels, colors, routes for Policy Enforcement, AI Readiness, Assessment Coverage
• PostureBreakdownContent drawer shows all 7 with per-dimension action links
• Graceful degradation if API returns fewer dimensions
• No visual regressions on existing 4 dimensions</t>
  </si>
  <si>
    <t xml:space="preserve">§4.2 GPS</t>
  </si>
  <si>
    <t xml:space="preserve">Can start against mocks; wire to real data later</t>
  </si>
  <si>
    <t xml:space="preserve">DASH-8</t>
  </si>
  <si>
    <t xml:space="preserve">[FE] Activity feed component</t>
  </si>
  <si>
    <t xml:space="preserve">Scrolling, filterable activity feed for the dashboard bottom tier. Makes the platform feel alive.</t>
  </si>
  <si>
    <t xml:space="preserve">• Scrolling list with icon (by actor type), message, relative timestamp
• Filterable by type: All / Human / System / Agent
• Each item clickable — navigates to relevant detail view
• New items fade in from top (200ms ease-out)
• "Powered by Helios / Janus / Lethe / Astralis" attribution per item
• Infinite scroll pagination
• Empty state: "No recent activity"
• MSW mock handler added</t>
  </si>
  <si>
    <t xml:space="preserve">§4.8 Activity Feed</t>
  </si>
  <si>
    <t xml:space="preserve">DASH-9</t>
  </si>
  <si>
    <t xml:space="preserve">[FE] Risk cards panel component</t>
  </si>
  <si>
    <t xml:space="preserve">Risk alert cards rendered between GPS/Actions row and middle tier panels.</t>
  </si>
  <si>
    <t xml:space="preserve">• Cards follow PRD structure: severity icon + color, title, one-line description, affected systems count, action button, time since detected
• Expandable agent rationale per card
• Recommended action with pre-linked CTA
• Severity colors: red (critical), orange (high), yellow (medium), blue (low)
• Empty state: green check + "No active risks"
• RTK Query endpoint + types in dashboard slice
• MSW mock handler</t>
  </si>
  <si>
    <t xml:space="preserve">§3 Risk Cards</t>
  </si>
  <si>
    <t xml:space="preserve">DASH-10</t>
  </si>
  <si>
    <t xml:space="preserve">[FE] Consent health panel component</t>
  </si>
  <si>
    <t xml:space="preserve">Consent health card for the dashboard middle tier.</t>
  </si>
  <si>
    <t xml:space="preserve">• Shows: active consent records, monitoring status indicator (green/amber/red dot), anomaly flag with description, consent-to-processing alignment %
• Click-through to /consent/reporting
• "Ask Astralis" button placeholder (disabled V1)
• RTK Query endpoint + types added
• MSW mock handler</t>
  </si>
  <si>
    <t xml:space="preserve">§4.7 Consent Health</t>
  </si>
  <si>
    <t xml:space="preserve">DASH-11</t>
  </si>
  <si>
    <t xml:space="preserve">[FE] AI Readiness panel component</t>
  </si>
  <si>
    <t xml:space="preserve">Executive-facing panel designed to be screenshot-worthy for CIO/CDO conversations.</t>
  </si>
  <si>
    <t xml:space="preserve">• Aggregate AI Readiness score (large, animated number)
• System breakdown: X fully ready / Y partial / Z not ready
• 5-criteria visual checklist with completion rates per criterion
• Click-through to detail view (drawer or page with per-system readiness)
• "Ask Astralis" button placeholder
• Works in both light and dark mode
• MSW mock handler</t>
  </si>
  <si>
    <t xml:space="preserve">§4.6 AI Readiness</t>
  </si>
  <si>
    <t xml:space="preserve">Design for screenshots — bold numbers, clear labels</t>
  </si>
  <si>
    <t xml:space="preserve">DASH-12</t>
  </si>
  <si>
    <t xml:space="preserve">[FE] Astralis agent activity panel component</t>
  </si>
  <si>
    <t xml:space="preserve">Shows AI agents actively conducting assessments in real-time. The PRD's "wow moment."</t>
  </si>
  <si>
    <t xml:space="preserve">• Active conversations, awaiting response (overdue styling if &gt;3 days), completed assessments, risks identified
• Each metric clickable — opens list with steward name, system, status
• Activity indicators, progress states, steward avatars
• Click-through to PIA management view
• Persistent agent status strip: "Active: X PIA conversations · Y auto-approvals ready"
• RTK Query already exists — add mock handler
• Works in dark mode</t>
  </si>
  <si>
    <t xml:space="preserve">§4.10 Astralis Panel</t>
  </si>
  <si>
    <t xml:space="preserve">Should feel like watching a team of analysts working</t>
  </si>
  <si>
    <t xml:space="preserve">DASH-13</t>
  </si>
  <si>
    <t xml:space="preserve">[FE] Persona selector and adaptive dashboard ordering</t>
  </si>
  <si>
    <t xml:space="preserve">Role selection in settings + dashboard section reordering based on persona.</t>
  </si>
  <si>
    <t xml:space="preserve">• Settings page: persona picker (Legal/Privacy, Governance/GRC, Data Engineer, Executive)
• First-login modal if no persona set
• Dashboard sections reorder by persona (all visible, priority changes): Legal elevates DSR + Consent, Governance elevates Classification + Systems + Policy, Engineer filters to owned systems, Executive shows summary mode
• Quick Stats bar adapts pill content per persona
• Persisted via DASH-6 persona endpoint</t>
  </si>
  <si>
    <t xml:space="preserve">§2 Persona Strategy</t>
  </si>
  <si>
    <t xml:space="preserve">DASH-14</t>
  </si>
  <si>
    <t xml:space="preserve">[FE] Notification bell</t>
  </si>
  <si>
    <t xml:space="preserve">Notification bell in CommandBar with unread count and dropdown panel.</t>
  </si>
  <si>
    <t xml:space="preserve">• Bell icon with unread count badge in CommandBar
• Dropdown panel showing recent alerts (from risk cards + critical action queue items)
• Each notification clickable — navigates to detail view
• "Mark all read" action
• V1: notifications derived client-side from already-loaded dashboard data
• Unread state in localStorage (V1)</t>
  </si>
  <si>
    <t xml:space="preserve">§4.1 Command Bar</t>
  </si>
  <si>
    <t xml:space="preserve">No backend dependency — client-side only</t>
  </si>
  <si>
    <t xml:space="preserve">DASH-15</t>
  </si>
  <si>
    <t xml:space="preserve">[FE] P2 component UI polish and refinements</t>
  </si>
  <si>
    <t xml:space="preserve">Polish pass on all new P2 components after initial implementation.</t>
  </si>
  <si>
    <t xml:space="preserve">• Activity feed fade-in animations on new items
• Risk card severity colors and icons consistent with design system
• AI Readiness panel screenshot-ready in light + dark mode
• All components match motion language: 200-300ms transitions, ease-out
• Micro-interactions: hover states, expand/collapse, tab transitions
• Cross-component visual consistency audit
• Mobile/responsive spot-check</t>
  </si>
  <si>
    <t xml:space="preserve">DASH-8 through DASH-13</t>
  </si>
  <si>
    <t xml:space="preserve">Gates on P2 components having first pass done</t>
  </si>
  <si>
    <t xml:space="preserve">DASH-16</t>
  </si>
  <si>
    <t xml:space="preserve">Phase 3: Steward Inbox</t>
  </si>
  <si>
    <t xml:space="preserve">[BE] Steward inbox backend (aggregation, plain-language, deep links)</t>
  </si>
  <si>
    <t xml:space="preserve">Full backend for the steward inbox: task aggregation from 4 sources, jargon-free plain-language explanations, and deep link support for external notification arrivals.</t>
  </si>
  <si>
    <t xml:space="preserve">Task Aggregation (GET /api/v1/plus/steward/inbox):
• Paginated tasks for authenticated user
• Pulls from: StagedResource classifications (via MonitorSteward), ManualTaskInstance, PrivacyAssessment conversations, system info requests
• Each task: type, urgency (urgent/this_week/when_ready), title, system name, due date, status
• Urgency from: due date proximity × regulatory sensitivity × time since created
• Completed tasks via ?status=completed; sorted: urgency → due date → created
Plain-Language Explanations:
• Each task includes plain_description and impact_statement
• Templates per type: "Review the data labels for your CRM" not "Approve pending Fideslang classifications"
• Impact: "If labels aren't confirmed within 5 days, system shows as unclassified"
• V1: deterministic templates. V2: LLM-generated
Deep Links (GET /api/v1/plus/steward/inbox/task/{taskId}):
• Single task with full context (system details, field list, conversation history)
• /steward-inbox?task={taskId} format
• Auth handling for email/Slack arrivals within session expiry</t>
  </si>
  <si>
    <t xml:space="preserve">§8 Steward Inbox</t>
  </si>
  <si>
    <t xml:space="preserve">Can split into sub-tickets if team prefers</t>
  </si>
  <si>
    <t xml:space="preserve">DASH-17</t>
  </si>
  <si>
    <t xml:space="preserve">[FE] Steward inbox shell and task list</t>
  </si>
  <si>
    <t xml:space="preserve">Page structure, routing, nav integration, urgency grouping, and common task card chrome shared by all four task types.</t>
  </si>
  <si>
    <t xml:space="preserve">• New route /steward-inbox, added to sidebar nav
• Urgency-grouped list: Urgent (red), This Week (amber), Review When Ready (blue)
• Common task card: urgency badge, title, plain-language description, system name, due date, impact statement (expandable), primary action button
• Completed tasks section (collapsible) with count
• Deep link handling: ?task={id} auto-opens task
• Empty state: celebration — "All clear!"
• Mobile-responsive (single column, touch-friendly)
• RTK Query integration with DASH-16</t>
  </si>
  <si>
    <t xml:space="preserve">Foundation for DASH-18 through DASH-21</t>
  </si>
  <si>
    <t xml:space="preserve">DASH-18</t>
  </si>
  <si>
    <t xml:space="preserve">[FE] Classification review task type</t>
  </si>
  <si>
    <t xml:space="preserve">Most interaction-heavy task type. Field-by-field approve/edit/reject for detected data classifications.</t>
  </si>
  <si>
    <t xml:space="preserve">• Inline or expandable detail panel: list of fields with suggested data categories
• Per-field actions: approve (checkmark), edit (category picker), reject (required reason)
• Batch approve for high-confidence (&gt;95%): "Approve all?"
• Field summary: "12 new fields detected, 8 auto-approved, 4 need review"
• Shows field name, source table, suggested category, confidence score
• Submit sends approvals/edits/rejections to classification system
• Completion toast, task moves to completed</t>
  </si>
  <si>
    <t xml:space="preserve">Complex per-field interaction UI</t>
  </si>
  <si>
    <t xml:space="preserve">DASH-19</t>
  </si>
  <si>
    <t xml:space="preserve">[FE] DSR manual step task type</t>
  </si>
  <si>
    <t xml:space="preserve">Steward confirms a manual data action (usually deletion) has been completed.</t>
  </si>
  <si>
    <t xml:space="preserve">• Shows: what was requested, which system, which identity, what action needed
• Checkbox: "I confirm this data has been deleted from [System]"
• Optional notes field
• Warning if approaching SLA deadline
• Submit sends confirmation to DSR pipeline</t>
  </si>
  <si>
    <t xml:space="preserve">DASH-20</t>
  </si>
  <si>
    <t xml:space="preserve">[FE] PIA conversation task type</t>
  </si>
  <si>
    <t xml:space="preserve">Two-way conversation with Astralis within the inbox. The PRD's "conversation surface, not just a task list."</t>
  </si>
  <si>
    <t xml:space="preserve">• Conversation history between Astralis and steward (from PrivacyAssessment + AnswerVersion)
• Inline reply — text input submitting new AnswerVersion
• Astralis questions as chat bubbles with "what's being asked" and "why it matters"
• External handoff links to Slack/Teams if configured
• Assessment progress: "Question 3 of 8 answered"
• Previous answers editable</t>
  </si>
  <si>
    <t xml:space="preserve">Chat-style UI with AI agent — significant complexity</t>
  </si>
  <si>
    <t xml:space="preserve">DASH-21</t>
  </si>
  <si>
    <t xml:space="preserve">[FE] System information request task type</t>
  </si>
  <si>
    <t xml:space="preserve">Guided form for stewards to provide/update system metadata.</t>
  </si>
  <si>
    <t xml:space="preserve">• Fields: data categories processed, retention period, third-party sharing, processing purposes
• Pre-filled suggestions from existing system metadata + Astralis inference
• Plain-language helper text per field
• Progressive disclosure: required fields first, optional behind expander
• Validation with helpful errors
• Submit updates system record via existing system API</t>
  </si>
  <si>
    <t xml:space="preserve">Phase / Epic</t>
  </si>
  <si>
    <t xml:space="preserve">Tickets</t>
  </si>
  <si>
    <t xml:space="preserve">Backend Pts</t>
  </si>
  <si>
    <t xml:space="preserve">Frontend Pts</t>
  </si>
  <si>
    <t xml:space="preserve">Total Pts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</si>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</sst>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B579A"/>
        <bgColor rgb="FF0066CC"/>
      </patternFill>
    </fill>
    <fill>
      <patternFill patternType="solid">
        <fgColor rgb="FFD6E4F0"/>
        <bgColor rgb="FFE8E8E8"/>
      </patternFill>
    </fill>
    <fill>
      <patternFill patternType="solid">
        <fgColor rgb="FFD6F0D6"/>
        <bgColor rgb="FFD6E4F0"/>
      </patternFill>
    </fill>
    <fill>
      <patternFill patternType="solid">
        <fgColor rgb="FFF0E4D6"/>
        <bgColor rgb="FFE8E8E8"/>
      </patternFill>
    </fill>
    <fill>
      <patternFill patternType="solid">
        <fgColor rgb="FFE8E8E8"/>
        <bgColor rgb="FFF0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B579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D6F0D6"/>
          <bgColor rgb="FF000000"/>
        </patternFill>
      </fill>
    </dxf>
    <dxf>
      <fill>
        <patternFill patternType="solid">
          <fgColor rgb="FFF0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E4D6"/>
      <rgbColor rgb="FFD6E4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6F0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B57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65"/>
    <col collapsed="false" customWidth="true" hidden="false" outlineLevel="0" max="7" min="7" style="0" width="85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37.3" hidden="false" customHeight="false" outlineLevel="0" collapsed="false">
      <c r="A2" s="2" t="s">
        <v>10</v>
      </c>
      <c r="B2" s="3" t="s">
        <v>11</v>
      </c>
      <c r="C2" s="2" t="s">
        <v>12</v>
      </c>
      <c r="D2" s="4" t="s">
        <v>13</v>
      </c>
      <c r="E2" s="4" t="n">
        <v>8</v>
      </c>
      <c r="F2" s="5" t="s">
        <v>14</v>
      </c>
      <c r="G2" s="5" t="s">
        <v>15</v>
      </c>
      <c r="H2" s="2" t="s">
        <v>16</v>
      </c>
      <c r="I2" s="2" t="s">
        <v>17</v>
      </c>
      <c r="J2" s="5" t="s">
        <v>18</v>
      </c>
    </row>
    <row r="3" customFormat="false" ht="79.85" hidden="false" customHeight="false" outlineLevel="0" collapsed="false">
      <c r="A3" s="2" t="s">
        <v>19</v>
      </c>
      <c r="B3" s="3" t="s">
        <v>11</v>
      </c>
      <c r="C3" s="2" t="s">
        <v>20</v>
      </c>
      <c r="D3" s="4" t="s">
        <v>21</v>
      </c>
      <c r="E3" s="4" t="n">
        <v>5</v>
      </c>
      <c r="F3" s="5" t="s">
        <v>22</v>
      </c>
      <c r="G3" s="5" t="s">
        <v>23</v>
      </c>
      <c r="H3" s="2" t="s">
        <v>10</v>
      </c>
      <c r="I3" s="2" t="s">
        <v>24</v>
      </c>
      <c r="J3" s="5" t="s">
        <v>25</v>
      </c>
    </row>
    <row r="4" customFormat="false" ht="102.2" hidden="false" customHeight="false" outlineLevel="0" collapsed="false">
      <c r="A4" s="2" t="s">
        <v>26</v>
      </c>
      <c r="B4" s="3" t="s">
        <v>11</v>
      </c>
      <c r="C4" s="2" t="s">
        <v>27</v>
      </c>
      <c r="D4" s="4" t="s">
        <v>21</v>
      </c>
      <c r="E4" s="4" t="n">
        <v>5</v>
      </c>
      <c r="F4" s="5" t="s">
        <v>28</v>
      </c>
      <c r="G4" s="5" t="s">
        <v>29</v>
      </c>
      <c r="H4" s="2" t="s">
        <v>16</v>
      </c>
      <c r="I4" s="2" t="s">
        <v>30</v>
      </c>
      <c r="J4" s="5" t="s">
        <v>31</v>
      </c>
    </row>
    <row r="5" customFormat="false" ht="191.75" hidden="false" customHeight="false" outlineLevel="0" collapsed="false">
      <c r="A5" s="2" t="s">
        <v>32</v>
      </c>
      <c r="B5" s="6" t="s">
        <v>33</v>
      </c>
      <c r="C5" s="2" t="s">
        <v>34</v>
      </c>
      <c r="D5" s="4" t="s">
        <v>13</v>
      </c>
      <c r="E5" s="4" t="n">
        <v>5</v>
      </c>
      <c r="F5" s="5" t="s">
        <v>35</v>
      </c>
      <c r="G5" s="5" t="s">
        <v>36</v>
      </c>
      <c r="H5" s="2" t="s">
        <v>10</v>
      </c>
      <c r="I5" s="2" t="s">
        <v>37</v>
      </c>
      <c r="J5" s="5" t="s">
        <v>38</v>
      </c>
    </row>
    <row r="6" customFormat="false" ht="147" hidden="false" customHeight="false" outlineLevel="0" collapsed="false">
      <c r="A6" s="2" t="s">
        <v>39</v>
      </c>
      <c r="B6" s="6" t="s">
        <v>33</v>
      </c>
      <c r="C6" s="2" t="s">
        <v>40</v>
      </c>
      <c r="D6" s="4" t="s">
        <v>13</v>
      </c>
      <c r="E6" s="4" t="n">
        <v>5</v>
      </c>
      <c r="F6" s="5" t="s">
        <v>41</v>
      </c>
      <c r="G6" s="5" t="s">
        <v>42</v>
      </c>
      <c r="H6" s="2" t="s">
        <v>16</v>
      </c>
      <c r="I6" s="2" t="s">
        <v>43</v>
      </c>
      <c r="J6" s="5" t="s">
        <v>44</v>
      </c>
    </row>
    <row r="7" customFormat="false" ht="169.4" hidden="false" customHeight="false" outlineLevel="0" collapsed="false">
      <c r="A7" s="2" t="s">
        <v>45</v>
      </c>
      <c r="B7" s="6" t="s">
        <v>33</v>
      </c>
      <c r="C7" s="2" t="s">
        <v>46</v>
      </c>
      <c r="D7" s="4" t="s">
        <v>13</v>
      </c>
      <c r="E7" s="4" t="n">
        <v>3</v>
      </c>
      <c r="F7" s="5" t="s">
        <v>47</v>
      </c>
      <c r="G7" s="5" t="s">
        <v>48</v>
      </c>
      <c r="H7" s="2" t="s">
        <v>16</v>
      </c>
      <c r="I7" s="2" t="s">
        <v>49</v>
      </c>
      <c r="J7" s="5" t="s">
        <v>50</v>
      </c>
    </row>
    <row r="8" customFormat="false" ht="68.65" hidden="false" customHeight="false" outlineLevel="0" collapsed="false">
      <c r="A8" s="2" t="s">
        <v>51</v>
      </c>
      <c r="B8" s="6" t="s">
        <v>33</v>
      </c>
      <c r="C8" s="2" t="s">
        <v>52</v>
      </c>
      <c r="D8" s="4" t="s">
        <v>21</v>
      </c>
      <c r="E8" s="4" t="n">
        <v>3</v>
      </c>
      <c r="F8" s="5" t="s">
        <v>53</v>
      </c>
      <c r="G8" s="5" t="s">
        <v>54</v>
      </c>
      <c r="H8" s="2" t="s">
        <v>32</v>
      </c>
      <c r="I8" s="2" t="s">
        <v>55</v>
      </c>
      <c r="J8" s="5" t="s">
        <v>56</v>
      </c>
    </row>
    <row r="9" customFormat="false" ht="91" hidden="false" customHeight="false" outlineLevel="0" collapsed="false">
      <c r="A9" s="2" t="s">
        <v>57</v>
      </c>
      <c r="B9" s="6" t="s">
        <v>33</v>
      </c>
      <c r="C9" s="2" t="s">
        <v>58</v>
      </c>
      <c r="D9" s="4" t="s">
        <v>21</v>
      </c>
      <c r="E9" s="4" t="n">
        <v>5</v>
      </c>
      <c r="F9" s="5" t="s">
        <v>59</v>
      </c>
      <c r="G9" s="5" t="s">
        <v>60</v>
      </c>
      <c r="H9" s="2" t="s">
        <v>39</v>
      </c>
      <c r="I9" s="2" t="s">
        <v>61</v>
      </c>
      <c r="J9" s="5"/>
    </row>
    <row r="10" customFormat="false" ht="91" hidden="false" customHeight="false" outlineLevel="0" collapsed="false">
      <c r="A10" s="2" t="s">
        <v>62</v>
      </c>
      <c r="B10" s="6" t="s">
        <v>33</v>
      </c>
      <c r="C10" s="2" t="s">
        <v>63</v>
      </c>
      <c r="D10" s="4" t="s">
        <v>21</v>
      </c>
      <c r="E10" s="4" t="n">
        <v>5</v>
      </c>
      <c r="F10" s="5" t="s">
        <v>64</v>
      </c>
      <c r="G10" s="5" t="s">
        <v>65</v>
      </c>
      <c r="H10" s="2" t="s">
        <v>39</v>
      </c>
      <c r="I10" s="2" t="s">
        <v>66</v>
      </c>
      <c r="J10" s="5"/>
    </row>
    <row r="11" customFormat="false" ht="68.65" hidden="false" customHeight="false" outlineLevel="0" collapsed="false">
      <c r="A11" s="2" t="s">
        <v>67</v>
      </c>
      <c r="B11" s="6" t="s">
        <v>33</v>
      </c>
      <c r="C11" s="2" t="s">
        <v>68</v>
      </c>
      <c r="D11" s="4" t="s">
        <v>21</v>
      </c>
      <c r="E11" s="4" t="n">
        <v>3</v>
      </c>
      <c r="F11" s="5" t="s">
        <v>69</v>
      </c>
      <c r="G11" s="5" t="s">
        <v>70</v>
      </c>
      <c r="H11" s="2" t="s">
        <v>45</v>
      </c>
      <c r="I11" s="2" t="s">
        <v>71</v>
      </c>
      <c r="J11" s="5"/>
    </row>
    <row r="12" customFormat="false" ht="79.85" hidden="false" customHeight="false" outlineLevel="0" collapsed="false">
      <c r="A12" s="2" t="s">
        <v>72</v>
      </c>
      <c r="B12" s="6" t="s">
        <v>33</v>
      </c>
      <c r="C12" s="2" t="s">
        <v>73</v>
      </c>
      <c r="D12" s="4" t="s">
        <v>21</v>
      </c>
      <c r="E12" s="4" t="n">
        <v>5</v>
      </c>
      <c r="F12" s="5" t="s">
        <v>74</v>
      </c>
      <c r="G12" s="5" t="s">
        <v>75</v>
      </c>
      <c r="H12" s="2" t="s">
        <v>32</v>
      </c>
      <c r="I12" s="2" t="s">
        <v>76</v>
      </c>
      <c r="J12" s="5" t="s">
        <v>77</v>
      </c>
    </row>
    <row r="13" customFormat="false" ht="91" hidden="false" customHeight="false" outlineLevel="0" collapsed="false">
      <c r="A13" s="2" t="s">
        <v>78</v>
      </c>
      <c r="B13" s="6" t="s">
        <v>33</v>
      </c>
      <c r="C13" s="2" t="s">
        <v>79</v>
      </c>
      <c r="D13" s="4" t="s">
        <v>21</v>
      </c>
      <c r="E13" s="4" t="n">
        <v>5</v>
      </c>
      <c r="F13" s="5" t="s">
        <v>80</v>
      </c>
      <c r="G13" s="5" t="s">
        <v>81</v>
      </c>
      <c r="H13" s="2" t="s">
        <v>45</v>
      </c>
      <c r="I13" s="2" t="s">
        <v>82</v>
      </c>
      <c r="J13" s="5" t="s">
        <v>83</v>
      </c>
    </row>
    <row r="14" customFormat="false" ht="79.85" hidden="false" customHeight="false" outlineLevel="0" collapsed="false">
      <c r="A14" s="2" t="s">
        <v>84</v>
      </c>
      <c r="B14" s="6" t="s">
        <v>33</v>
      </c>
      <c r="C14" s="2" t="s">
        <v>85</v>
      </c>
      <c r="D14" s="4" t="s">
        <v>21</v>
      </c>
      <c r="E14" s="4" t="n">
        <v>5</v>
      </c>
      <c r="F14" s="5" t="s">
        <v>86</v>
      </c>
      <c r="G14" s="5" t="s">
        <v>87</v>
      </c>
      <c r="H14" s="2" t="s">
        <v>45</v>
      </c>
      <c r="I14" s="2" t="s">
        <v>88</v>
      </c>
      <c r="J14" s="5"/>
    </row>
    <row r="15" customFormat="false" ht="68.65" hidden="false" customHeight="false" outlineLevel="0" collapsed="false">
      <c r="A15" s="2" t="s">
        <v>89</v>
      </c>
      <c r="B15" s="6" t="s">
        <v>33</v>
      </c>
      <c r="C15" s="2" t="s">
        <v>90</v>
      </c>
      <c r="D15" s="4" t="s">
        <v>21</v>
      </c>
      <c r="E15" s="4" t="n">
        <v>3</v>
      </c>
      <c r="F15" s="5" t="s">
        <v>91</v>
      </c>
      <c r="G15" s="5" t="s">
        <v>92</v>
      </c>
      <c r="H15" s="2" t="s">
        <v>16</v>
      </c>
      <c r="I15" s="2" t="s">
        <v>93</v>
      </c>
      <c r="J15" s="5" t="s">
        <v>94</v>
      </c>
    </row>
    <row r="16" customFormat="false" ht="79.85" hidden="false" customHeight="false" outlineLevel="0" collapsed="false">
      <c r="A16" s="2" t="s">
        <v>95</v>
      </c>
      <c r="B16" s="6" t="s">
        <v>33</v>
      </c>
      <c r="C16" s="2" t="s">
        <v>96</v>
      </c>
      <c r="D16" s="4" t="s">
        <v>21</v>
      </c>
      <c r="E16" s="4" t="n">
        <v>5</v>
      </c>
      <c r="F16" s="5" t="s">
        <v>97</v>
      </c>
      <c r="G16" s="5" t="s">
        <v>98</v>
      </c>
      <c r="H16" s="2" t="s">
        <v>99</v>
      </c>
      <c r="I16" s="2" t="s">
        <v>30</v>
      </c>
      <c r="J16" s="5" t="s">
        <v>100</v>
      </c>
    </row>
    <row r="17" customFormat="false" ht="214.15" hidden="false" customHeight="false" outlineLevel="0" collapsed="false">
      <c r="A17" s="2" t="s">
        <v>101</v>
      </c>
      <c r="B17" s="7" t="s">
        <v>102</v>
      </c>
      <c r="C17" s="2" t="s">
        <v>103</v>
      </c>
      <c r="D17" s="4" t="s">
        <v>13</v>
      </c>
      <c r="E17" s="4" t="n">
        <v>8</v>
      </c>
      <c r="F17" s="5" t="s">
        <v>104</v>
      </c>
      <c r="G17" s="5" t="s">
        <v>105</v>
      </c>
      <c r="H17" s="2" t="s">
        <v>16</v>
      </c>
      <c r="I17" s="2" t="s">
        <v>106</v>
      </c>
      <c r="J17" s="5" t="s">
        <v>107</v>
      </c>
    </row>
    <row r="18" customFormat="false" ht="102.2" hidden="false" customHeight="false" outlineLevel="0" collapsed="false">
      <c r="A18" s="2" t="s">
        <v>108</v>
      </c>
      <c r="B18" s="7" t="s">
        <v>102</v>
      </c>
      <c r="C18" s="2" t="s">
        <v>109</v>
      </c>
      <c r="D18" s="4" t="s">
        <v>21</v>
      </c>
      <c r="E18" s="4" t="n">
        <v>8</v>
      </c>
      <c r="F18" s="5" t="s">
        <v>110</v>
      </c>
      <c r="G18" s="5" t="s">
        <v>111</v>
      </c>
      <c r="H18" s="2" t="s">
        <v>101</v>
      </c>
      <c r="I18" s="2" t="s">
        <v>106</v>
      </c>
      <c r="J18" s="5" t="s">
        <v>112</v>
      </c>
    </row>
    <row r="19" customFormat="false" ht="79.85" hidden="false" customHeight="false" outlineLevel="0" collapsed="false">
      <c r="A19" s="2" t="s">
        <v>113</v>
      </c>
      <c r="B19" s="7" t="s">
        <v>102</v>
      </c>
      <c r="C19" s="2" t="s">
        <v>114</v>
      </c>
      <c r="D19" s="4" t="s">
        <v>21</v>
      </c>
      <c r="E19" s="4" t="n">
        <v>8</v>
      </c>
      <c r="F19" s="5" t="s">
        <v>115</v>
      </c>
      <c r="G19" s="5" t="s">
        <v>116</v>
      </c>
      <c r="H19" s="2" t="s">
        <v>108</v>
      </c>
      <c r="I19" s="2" t="s">
        <v>106</v>
      </c>
      <c r="J19" s="5" t="s">
        <v>117</v>
      </c>
    </row>
    <row r="20" customFormat="false" ht="57.45" hidden="false" customHeight="false" outlineLevel="0" collapsed="false">
      <c r="A20" s="2" t="s">
        <v>118</v>
      </c>
      <c r="B20" s="7" t="s">
        <v>102</v>
      </c>
      <c r="C20" s="2" t="s">
        <v>119</v>
      </c>
      <c r="D20" s="4" t="s">
        <v>21</v>
      </c>
      <c r="E20" s="4" t="n">
        <v>3</v>
      </c>
      <c r="F20" s="5" t="s">
        <v>120</v>
      </c>
      <c r="G20" s="5" t="s">
        <v>121</v>
      </c>
      <c r="H20" s="2" t="s">
        <v>108</v>
      </c>
      <c r="I20" s="2" t="s">
        <v>106</v>
      </c>
      <c r="J20" s="5"/>
    </row>
    <row r="21" customFormat="false" ht="68.65" hidden="false" customHeight="false" outlineLevel="0" collapsed="false">
      <c r="A21" s="2" t="s">
        <v>122</v>
      </c>
      <c r="B21" s="7" t="s">
        <v>102</v>
      </c>
      <c r="C21" s="2" t="s">
        <v>123</v>
      </c>
      <c r="D21" s="4" t="s">
        <v>21</v>
      </c>
      <c r="E21" s="4" t="n">
        <v>8</v>
      </c>
      <c r="F21" s="5" t="s">
        <v>124</v>
      </c>
      <c r="G21" s="5" t="s">
        <v>125</v>
      </c>
      <c r="H21" s="2" t="s">
        <v>108</v>
      </c>
      <c r="I21" s="2" t="s">
        <v>106</v>
      </c>
      <c r="J21" s="5" t="s">
        <v>126</v>
      </c>
    </row>
    <row r="22" customFormat="false" ht="68.65" hidden="false" customHeight="false" outlineLevel="0" collapsed="false">
      <c r="A22" s="2" t="s">
        <v>127</v>
      </c>
      <c r="B22" s="7" t="s">
        <v>102</v>
      </c>
      <c r="C22" s="2" t="s">
        <v>128</v>
      </c>
      <c r="D22" s="4" t="s">
        <v>21</v>
      </c>
      <c r="E22" s="4" t="n">
        <v>5</v>
      </c>
      <c r="F22" s="5" t="s">
        <v>129</v>
      </c>
      <c r="G22" s="5" t="s">
        <v>130</v>
      </c>
      <c r="H22" s="2" t="s">
        <v>108</v>
      </c>
      <c r="I22" s="2" t="s">
        <v>106</v>
      </c>
      <c r="J22" s="5"/>
    </row>
  </sheetData>
  <autoFilter ref="A1:J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</row>
    <row r="2" customFormat="false" ht="15" hidden="false" customHeight="false" outlineLevel="0" collapsed="false">
      <c r="A2" s="8" t="s">
        <v>11</v>
      </c>
      <c r="B2" s="4" t="n">
        <v>3</v>
      </c>
      <c r="C2" s="4" t="n">
        <v>8</v>
      </c>
      <c r="D2" s="4" t="n">
        <v>10</v>
      </c>
      <c r="E2" s="9" t="n">
        <f aca="false">C2+D2</f>
        <v>18</v>
      </c>
    </row>
    <row r="3" customFormat="false" ht="15" hidden="false" customHeight="false" outlineLevel="0" collapsed="false">
      <c r="A3" s="10" t="s">
        <v>33</v>
      </c>
      <c r="B3" s="4" t="n">
        <v>12</v>
      </c>
      <c r="C3" s="4" t="n">
        <v>13</v>
      </c>
      <c r="D3" s="4" t="n">
        <v>39</v>
      </c>
      <c r="E3" s="9" t="n">
        <f aca="false">C3+D3</f>
        <v>52</v>
      </c>
    </row>
    <row r="4" customFormat="false" ht="15" hidden="false" customHeight="false" outlineLevel="0" collapsed="false">
      <c r="A4" s="11" t="s">
        <v>102</v>
      </c>
      <c r="B4" s="4" t="n">
        <v>6</v>
      </c>
      <c r="C4" s="4" t="n">
        <v>8</v>
      </c>
      <c r="D4" s="4" t="n">
        <v>32</v>
      </c>
      <c r="E4" s="9" t="n">
        <f aca="false">C4+D4</f>
        <v>40</v>
      </c>
    </row>
    <row r="5" customFormat="false" ht="15" hidden="false" customHeight="false" outlineLevel="0" collapsed="false">
      <c r="A5" s="12" t="s">
        <v>136</v>
      </c>
      <c r="B5" s="13" t="n">
        <f aca="false">SUM(B2:B4)</f>
        <v>21</v>
      </c>
      <c r="C5" s="13" t="n">
        <f aca="false">SUM(C2:C4)</f>
        <v>29</v>
      </c>
      <c r="D5" s="13" t="n">
        <f aca="false">SUM(D2:D4)</f>
        <v>81</v>
      </c>
      <c r="E5" s="13" t="n">
        <f aca="false">SUM(E2:E4)</f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2026-03-19T15:55:39Z</dcterms:created>
  <dc:creator>openpyxl</dc:creator>
  <dc:description/>
  <dc:language>en-US</dc:language>
  <cp:lastModifiedBy/>
  <dcterms:modified xsi:type="dcterms:W3CDTF">2026-03-19T15:55:39Z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